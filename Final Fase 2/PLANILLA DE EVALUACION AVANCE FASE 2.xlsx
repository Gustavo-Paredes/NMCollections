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1\grupo 5 (Contreras - Parada - Paredes)\"/>
    </mc:Choice>
  </mc:AlternateContent>
  <xr:revisionPtr revIDLastSave="0" documentId="13_ncr:1_{2B622272-AE85-4F6E-A73E-3C4A7E6EA293}"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5" authorId="0" shapeId="0" xr:uid="{D5B33B68-EA76-4FC4-B909-83EB0A9AC83D}">
      <text>
        <r>
          <rPr>
            <b/>
            <sz val="11"/>
            <color indexed="81"/>
            <rFont val="Tahoma"/>
            <charset val="1"/>
          </rPr>
          <t>No entregan todos los artefactos. Ej vídeo de ejcución. Plan de intalación. Código base</t>
        </r>
      </text>
    </comment>
    <comment ref="C19" authorId="0" shapeId="0" xr:uid="{4D83924B-B3EB-4947-AAA2-71F116FE2A91}">
      <text>
        <r>
          <rPr>
            <b/>
            <sz val="11"/>
            <color indexed="81"/>
            <rFont val="Tahoma"/>
            <charset val="1"/>
          </rPr>
          <t>Falta el código y todo lo relacionado con la BD</t>
        </r>
        <r>
          <rPr>
            <sz val="11"/>
            <color indexed="81"/>
            <rFont val="Tahoma"/>
            <charset val="1"/>
          </rPr>
          <t xml:space="preserve">
</t>
        </r>
      </text>
    </comment>
  </commentList>
</comments>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<sst xmlns="http://schemas.openxmlformats.org/spreadsheetml/2006/main" count="84" uniqueCount="66">
  <si>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</si>
  <si>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</si>
  <si>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</si>
  <si>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</si>
  <si>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</si>
  <si>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</si>
  <si>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</si>
  <si>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</si>
  <si>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</si>
  <si>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</si>
  <si>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</si>
  <si>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</si>
  <si>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</si>
  <si>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</si>
  <si>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</si>
  <si>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</si>
  <si>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</si>
  <si>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</si>
  <si>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</si>
  <si>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</si>
  <si>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</si>
  <si>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</si>
  <si>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</si>
  <si>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</si>
  <si>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</si>
  <si>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</si>
  <si>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</si>
  <si>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</si>
  <si>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</si>
  <si>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</si>
  <si>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</si>
  <si>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</si>
  <si>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</si>
  <si>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</si>
  <si>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</si>
  <si>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</si>
  <si>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</si>
  <si>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</si>
  <si>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</si>
  <si>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</si>
  <si>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</si>
  <si>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</si>
  <si>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</si>
  <si>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</si>
  <si>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</si>
  <si>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</si>
  <si>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</si>
  <si>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</si>
  <si>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</si>
  <si>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</si>
  <si>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</si>
  <si>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</si>
  <si>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</si>
  <si>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</si>
  <si>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</si>
  <si>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</si>
  <si>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</si>
  <si>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</si>
  <si>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</si>
  <si>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</si>
  <si>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</si>
  <si>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</si>
  <si>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</si>
  <si>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GUSTAVO PAREDES</t>
  </si>
  <si>
    <t>JEREMY CONTRERAS</t>
  </si>
  <si>
    <t>MATIAS PARADA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</si>
</sst>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indexed="81"/>
      <name val="Tahoma"/>
      <charset val="1"/>
    </font>
    <font>
      <b/>
      <sz val="11"/>
      <color indexed="81"/>
      <name val="Tahoma"/>
      <charset val="1"/>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3" zoomScale="115" zoomScaleNormal="115" workbookViewId="0">
      <selection activeCell="B20" sqref="B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5.5</v>
      </c>
      <c r="G4" s="1"/>
    </row>
    <row r="5" spans="1:11">
      <c r="A5" s="4">
        <v>2</v>
      </c>
      <c r="B5" s="25" t="s">
        <v>64</v>
      </c>
      <c r="C5" s="5">
        <f>EVALUACION2!$C$22</f>
        <v>5.5</v>
      </c>
      <c r="G5" s="1"/>
    </row>
    <row r="6" spans="1:11">
      <c r="A6" s="4">
        <v>3</v>
      </c>
      <c r="B6" s="25" t="s">
        <v>65</v>
      </c>
      <c r="C6" s="5">
        <f>EVALUACION2!$C$22</f>
        <v>5.5</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24</v>
      </c>
      <c r="D19" s="15" t="str">
        <f>IF($C19=CL,"X","")</f>
        <v/>
      </c>
      <c r="E19" s="15" t="str">
        <f>IF(D19="X",100*0.15,"")</f>
        <v/>
      </c>
      <c r="F19" s="15" t="str">
        <f>IF($C19=L,"X","")</f>
        <v/>
      </c>
      <c r="G19" s="15" t="str">
        <f>IF(F19="X",60*0.15,"")</f>
        <v/>
      </c>
      <c r="H19" s="15" t="str">
        <f>IF($C19=ML,"X","")</f>
        <v>X</v>
      </c>
      <c r="I19" s="15">
        <f>IF(H19="X",30*0.15,"")</f>
        <v>4.5</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79.5</v>
      </c>
      <c r="D21" s="16"/>
      <c r="E21" s="16">
        <f>SUM(E13:E20)</f>
        <v>60</v>
      </c>
      <c r="F21" s="16"/>
      <c r="G21" s="16">
        <f>SUM(G13:G20)</f>
        <v>15</v>
      </c>
      <c r="H21" s="16"/>
      <c r="I21" s="16">
        <f>SUM(I13:I20)</f>
        <v>4.5</v>
      </c>
      <c r="J21" s="16"/>
      <c r="K21" s="16">
        <f>SUM(K13:K20)</f>
        <v>0</v>
      </c>
    </row>
    <row r="22" spans="1:11" ht="15.75" customHeight="1" outlineLevel="1">
      <c r="A22" s="45"/>
      <c r="B22" s="30" t="s">
        <v>13</v>
      </c>
      <c r="C22" s="17">
        <f>VLOOKUP(C21,ESCALA_IEP!A2:B202,2,FALSE)</f>
        <v>5.5</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2025-11-15T16:20:57Z</dcterms:modified>
</cp:coreProperties>
</file>